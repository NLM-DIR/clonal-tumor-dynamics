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sc\Documents\research\tumor-dynamics-2\figures\version 3\"/>
    </mc:Choice>
  </mc:AlternateContent>
  <xr:revisionPtr revIDLastSave="0" documentId="13_ncr:1_{F3E9C328-D81F-49F4-AFBE-5A471764A2BC}" xr6:coauthVersionLast="47" xr6:coauthVersionMax="47" xr10:uidLastSave="{00000000-0000-0000-0000-000000000000}"/>
  <bookViews>
    <workbookView xWindow="-108" yWindow="-108" windowWidth="23256" windowHeight="12456" xr2:uid="{AF2731A6-27DB-49BE-87AF-B24FD02E0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<sst xmlns="http://schemas.openxmlformats.org/spreadsheetml/2006/main" count="41" uniqueCount="20">
  <si>
    <t>Group</t>
  </si>
  <si>
    <t>Sample ID</t>
  </si>
  <si>
    <t>Size</t>
  </si>
  <si>
    <t>C1_medians</t>
  </si>
  <si>
    <t>C11_medians</t>
  </si>
  <si>
    <t>shared_medians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</si>
  <si>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</si>
  <si>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</si>
  <si>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</si>
  <si>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</si>
  <si>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</si>
  <si>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</si>
  <si>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</si>
  <si>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</si>
  <si>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</si>
  <si>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</si>
  <si>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</si>
  <si>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C11</t>
  </si>
  <si>
    <t>B6 Plots</t>
  </si>
  <si>
    <t>Nude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</si>
</sst>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5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100% Proliferative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/>
                </a:solidFill>
              </a:ln>
              <a:effectLst/>
            </c:spPr>
          </c:marker>
          <c:xVal>
            <c:numRef>
              <c:f>Sheet1!$H$2:$H$4</c:f>
              <c:numCache>
                <c:formatCode>General</c:formatCode>
                <c:ptCount val="3"/>
                <c:pt idx="0">
                  <c:v>197.33030549999998</c:v>
                </c:pt>
                <c:pt idx="1">
                  <c:v>498.26413799999989</c:v>
                </c:pt>
                <c:pt idx="2">
                  <c:v>1142.2782</c:v>
                </c:pt>
              </c:numCache>
            </c:numRef>
          </c:xVal>
          <c:yVal>
            <c:numRef>
              <c:f>Sheet1!$I$2:$I$4</c:f>
              <c:numCache>
                <c:formatCode>General</c:formatCode>
                <c:ptCount val="3"/>
                <c:pt idx="0">
                  <c:v>0.91285162158297284</c:v>
                </c:pt>
                <c:pt idx="1">
                  <c:v>0.9374017072416897</c:v>
                </c:pt>
                <c:pt idx="2">
                  <c:v>0.91480156702435733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6-4E54-B9DD-629E03C82ECE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Sheet1!$H$2:$H$4</c:f>
              <c:numCache>
                <c:formatCode>General</c:formatCode>
                <c:ptCount val="3"/>
                <c:pt idx="0">
                  <c:v>197.33030549999998</c:v>
                </c:pt>
                <c:pt idx="1">
                  <c:v>498.26413799999989</c:v>
                </c:pt>
                <c:pt idx="2">
                  <c:v>1142.2782</c:v>
                </c:pt>
              </c:numCache>
            </c:numRef>
          </c:xVal>
          <c:yVal>
            <c:numRef>
              <c:f>Sheet1!$J$2:$J$4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6-4E54-B9DD-629E03C8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Size</a:t>
                </a:r>
                <a:r>
                  <a:rPr lang="en-US" baseline="0">
                    <a:latin typeface="Arial" panose="020B0604020202020204" pitchFamily="34" charset="0"/>
                    <a:cs typeface="Arial" panose="020B0604020202020204" pitchFamily="34" charset="0"/>
                  </a:rPr>
                  <a:t> (mm</a:t>
                </a:r>
                <a:r>
                  <a:rPr lang="en-US" baseline="30000">
                    <a:latin typeface="Arial" panose="020B0604020202020204" pitchFamily="34" charset="0"/>
                    <a:cs typeface="Arial" panose="020B0604020202020204" pitchFamily="34" charset="0"/>
                  </a:rPr>
                  <a:t>3</a:t>
                </a:r>
                <a:r>
                  <a:rPr lang="en-US" baseline="0"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80% Proliferative; 20%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/>
                </a:solidFill>
              </a:ln>
              <a:effectLst/>
            </c:spPr>
          </c:marker>
          <c:xVal>
            <c:numRef>
              <c:f>Sheet1!$H$5:$H$7</c:f>
              <c:numCache>
                <c:formatCode>General</c:formatCode>
                <c:ptCount val="3"/>
                <c:pt idx="0">
                  <c:v>212.80861999999999</c:v>
                </c:pt>
                <c:pt idx="1">
                  <c:v>484.62027400000011</c:v>
                </c:pt>
                <c:pt idx="2">
                  <c:v>999.54849100000013</c:v>
                </c:pt>
              </c:numCache>
            </c:numRef>
          </c:xVal>
          <c:yVal>
            <c:numRef>
              <c:f>Sheet1!$I$5:$I$7</c:f>
              <c:numCache>
                <c:formatCode>General</c:formatCode>
                <c:ptCount val="3"/>
                <c:pt idx="0">
                  <c:v>0.92984507042253584</c:v>
                </c:pt>
                <c:pt idx="1">
                  <c:v>0.95904566815643977</c:v>
                </c:pt>
                <c:pt idx="2">
                  <c:v>0.8775563139390834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9-4034-9531-69A6CC034B12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Sheet1!$H$5:$H$7</c:f>
              <c:numCache>
                <c:formatCode>General</c:formatCode>
                <c:ptCount val="3"/>
                <c:pt idx="0">
                  <c:v>212.80861999999999</c:v>
                </c:pt>
                <c:pt idx="1">
                  <c:v>484.62027400000011</c:v>
                </c:pt>
                <c:pt idx="2">
                  <c:v>999.54849100000013</c:v>
                </c:pt>
              </c:numCache>
            </c:numRef>
          </c:xVal>
          <c:yVal>
            <c:numRef>
              <c:f>Sheet1!$J$5:$J$7</c:f>
              <c:numCache>
                <c:formatCode>General</c:formatCode>
                <c:ptCount val="3"/>
                <c:pt idx="0">
                  <c:v>0.19635072033992065</c:v>
                </c:pt>
                <c:pt idx="1">
                  <c:v>5.53510449703674E-2</c:v>
                </c:pt>
                <c:pt idx="2">
                  <c:v>6.6244502923554174E-2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39-4034-9531-69A6CC034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50% Proliferative; 50%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>
                    <a:alpha val="92000"/>
                  </a:srgbClr>
                </a:solidFill>
              </a:ln>
              <a:effectLst/>
            </c:spPr>
          </c:marker>
          <c:xVal>
            <c:numRef>
              <c:f>Sheet1!$H$8:$H$10</c:f>
              <c:numCache>
                <c:formatCode>General</c:formatCode>
                <c:ptCount val="3"/>
                <c:pt idx="0">
                  <c:v>211.192352</c:v>
                </c:pt>
                <c:pt idx="1">
                  <c:v>497.50963750000011</c:v>
                </c:pt>
                <c:pt idx="2">
                  <c:v>1056.2036760000003</c:v>
                </c:pt>
              </c:numCache>
            </c:numRef>
          </c:xVal>
          <c:yVal>
            <c:numRef>
              <c:f>Sheet1!$I$8:$I$10</c:f>
              <c:numCache>
                <c:formatCode>General</c:formatCode>
                <c:ptCount val="3"/>
                <c:pt idx="0">
                  <c:v>0.30601358411021806</c:v>
                </c:pt>
                <c:pt idx="1">
                  <c:v>6.8404727973845184E-2</c:v>
                </c:pt>
                <c:pt idx="2">
                  <c:v>0.1141996044497126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0-4593-B912-0103681A5092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95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Sheet1!$H$8:$H$10</c:f>
              <c:numCache>
                <c:formatCode>General</c:formatCode>
                <c:ptCount val="3"/>
                <c:pt idx="0">
                  <c:v>211.192352</c:v>
                </c:pt>
                <c:pt idx="1">
                  <c:v>497.50963750000011</c:v>
                </c:pt>
                <c:pt idx="2">
                  <c:v>1056.2036760000003</c:v>
                </c:pt>
              </c:numCache>
            </c:numRef>
          </c:xVal>
          <c:yVal>
            <c:numRef>
              <c:f>Sheet1!$J$8:$J$10</c:f>
              <c:numCache>
                <c:formatCode>General</c:formatCode>
                <c:ptCount val="3"/>
                <c:pt idx="0">
                  <c:v>0.62810053981106595</c:v>
                </c:pt>
                <c:pt idx="1">
                  <c:v>0.97262968827987606</c:v>
                </c:pt>
                <c:pt idx="2">
                  <c:v>0.9700597892118169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0-4593-B912-0103681A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20% Proliferative; 80%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>
                    <a:alpha val="92000"/>
                  </a:srgbClr>
                </a:solidFill>
              </a:ln>
              <a:effectLst/>
            </c:spPr>
          </c:marker>
          <c:xVal>
            <c:numRef>
              <c:f>Sheet1!$H$11:$H$13</c:f>
              <c:numCache>
                <c:formatCode>General</c:formatCode>
                <c:ptCount val="3"/>
                <c:pt idx="0">
                  <c:v>252.97920000000002</c:v>
                </c:pt>
                <c:pt idx="1">
                  <c:v>516.70466249999993</c:v>
                </c:pt>
                <c:pt idx="2">
                  <c:v>1170.3778579999998</c:v>
                </c:pt>
              </c:numCache>
            </c:numRef>
          </c:xVal>
          <c:yVal>
            <c:numRef>
              <c:f>Sheet1!$I$11:$I$13</c:f>
              <c:numCache>
                <c:formatCode>General</c:formatCode>
                <c:ptCount val="3"/>
                <c:pt idx="0">
                  <c:v>0.10666666666666669</c:v>
                </c:pt>
                <c:pt idx="1">
                  <c:v>4.9016136234342589E-2</c:v>
                </c:pt>
                <c:pt idx="2">
                  <c:v>5.6774193548387024E-2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5B-4E74-9E4A-3C39DC206BE0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95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Sheet1!$H$11:$H$13</c:f>
              <c:numCache>
                <c:formatCode>General</c:formatCode>
                <c:ptCount val="3"/>
                <c:pt idx="0">
                  <c:v>252.97920000000002</c:v>
                </c:pt>
                <c:pt idx="1">
                  <c:v>516.70466249999993</c:v>
                </c:pt>
                <c:pt idx="2">
                  <c:v>1170.3778579999998</c:v>
                </c:pt>
              </c:numCache>
            </c:numRef>
          </c:xVal>
          <c:yVal>
            <c:numRef>
              <c:f>Sheet1!$J$11:$J$13</c:f>
              <c:numCache>
                <c:formatCode>General</c:formatCode>
                <c:ptCount val="3"/>
                <c:pt idx="0">
                  <c:v>0.87092783505154625</c:v>
                </c:pt>
                <c:pt idx="1">
                  <c:v>0.97688087714955163</c:v>
                </c:pt>
                <c:pt idx="2">
                  <c:v>0.96630931604753612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5B-4E74-9E4A-3C39DC206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100%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>
                  <a:alpha val="94000"/>
                </a:srgbClr>
              </a:solidFill>
              <a:ln w="9525">
                <a:solidFill>
                  <a:srgbClr val="FFA500">
                    <a:alpha val="92000"/>
                  </a:srgbClr>
                </a:solidFill>
              </a:ln>
              <a:effectLst/>
            </c:spPr>
          </c:marker>
          <c:xVal>
            <c:numRef>
              <c:f>Sheet1!$H$14:$H$16</c:f>
              <c:numCache>
                <c:formatCode>General</c:formatCode>
                <c:ptCount val="3"/>
                <c:pt idx="0">
                  <c:v>214.87254800000005</c:v>
                </c:pt>
                <c:pt idx="1">
                  <c:v>479.01294999999999</c:v>
                </c:pt>
                <c:pt idx="2">
                  <c:v>1169.2628999999999</c:v>
                </c:pt>
              </c:numCache>
            </c:numRef>
          </c:xVal>
          <c:yVal>
            <c:numRef>
              <c:f>Sheet1!$I$14:$I$16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B-4DB6-9695-14EBE97F9E64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95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Sheet1!$H$14:$H$16</c:f>
              <c:numCache>
                <c:formatCode>General</c:formatCode>
                <c:ptCount val="3"/>
                <c:pt idx="0">
                  <c:v>214.87254800000005</c:v>
                </c:pt>
                <c:pt idx="1">
                  <c:v>479.01294999999999</c:v>
                </c:pt>
                <c:pt idx="2">
                  <c:v>1169.2628999999999</c:v>
                </c:pt>
              </c:numCache>
            </c:numRef>
          </c:xVal>
          <c:yVal>
            <c:numRef>
              <c:f>Sheet1!$J$14:$J$16</c:f>
              <c:numCache>
                <c:formatCode>General</c:formatCode>
                <c:ptCount val="3"/>
                <c:pt idx="0">
                  <c:v>0.97001782531194192</c:v>
                </c:pt>
                <c:pt idx="1">
                  <c:v>0.97176474893866271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B-4DB6-9695-14EBE97F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/>
              <a:t>100% Proliferative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/>
                </a:solidFill>
              </a:ln>
              <a:effectLst/>
            </c:spPr>
          </c:marker>
          <c:xVal>
            <c:numRef>
              <c:f>Sheet1!$H$17:$H$19</c:f>
              <c:numCache>
                <c:formatCode>General</c:formatCode>
                <c:ptCount val="3"/>
                <c:pt idx="0">
                  <c:v>220.35905099999999</c:v>
                </c:pt>
                <c:pt idx="1">
                  <c:v>583.164582</c:v>
                </c:pt>
                <c:pt idx="2">
                  <c:v>1146.1895279999997</c:v>
                </c:pt>
              </c:numCache>
            </c:numRef>
          </c:xVal>
          <c:yVal>
            <c:numRef>
              <c:f>Sheet1!$I$17:$I$19</c:f>
              <c:numCache>
                <c:formatCode>General</c:formatCode>
                <c:ptCount val="3"/>
                <c:pt idx="0">
                  <c:v>0.94729073356236959</c:v>
                </c:pt>
                <c:pt idx="1">
                  <c:v>0.91794042999532532</c:v>
                </c:pt>
                <c:pt idx="2">
                  <c:v>0.9153986609860012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F-4A06-B5C3-F8F4C8A0A073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Sheet1!$H$17:$H$19</c:f>
              <c:numCache>
                <c:formatCode>General</c:formatCode>
                <c:ptCount val="3"/>
                <c:pt idx="0">
                  <c:v>220.35905099999999</c:v>
                </c:pt>
                <c:pt idx="1">
                  <c:v>583.164582</c:v>
                </c:pt>
                <c:pt idx="2">
                  <c:v>1146.1895279999997</c:v>
                </c:pt>
              </c:numCache>
            </c:numRef>
          </c:xVal>
          <c:yVal>
            <c:numRef>
              <c:f>Sheet1!$J$17:$J$19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F-4A06-B5C3-F8F4C8A0A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/>
              <a:t>80% Proliferative; 20%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/>
                </a:solidFill>
              </a:ln>
              <a:effectLst/>
            </c:spPr>
          </c:marker>
          <c:xVal>
            <c:numRef>
              <c:f>Sheet1!$H$20:$H$22</c:f>
              <c:numCache>
                <c:formatCode>General</c:formatCode>
                <c:ptCount val="3"/>
                <c:pt idx="0">
                  <c:v>181.86959999999999</c:v>
                </c:pt>
                <c:pt idx="1">
                  <c:v>631.02672000000007</c:v>
                </c:pt>
                <c:pt idx="2">
                  <c:v>1701.7770240000002</c:v>
                </c:pt>
              </c:numCache>
            </c:numRef>
          </c:xVal>
          <c:yVal>
            <c:numRef>
              <c:f>Sheet1!$I$20:$I$22</c:f>
              <c:numCache>
                <c:formatCode>General</c:formatCode>
                <c:ptCount val="3"/>
                <c:pt idx="0">
                  <c:v>0.89987162206192806</c:v>
                </c:pt>
                <c:pt idx="1">
                  <c:v>0.89462520428111714</c:v>
                </c:pt>
                <c:pt idx="2">
                  <c:v>0.90499401544688962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6-4246-BD34-9FD46C07AEC5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Sheet1!$H$20:$H$22</c:f>
              <c:numCache>
                <c:formatCode>General</c:formatCode>
                <c:ptCount val="3"/>
                <c:pt idx="0">
                  <c:v>181.86959999999999</c:v>
                </c:pt>
                <c:pt idx="1">
                  <c:v>631.02672000000007</c:v>
                </c:pt>
                <c:pt idx="2">
                  <c:v>1701.7770240000002</c:v>
                </c:pt>
              </c:numCache>
            </c:numRef>
          </c:xVal>
          <c:yVal>
            <c:numRef>
              <c:f>Sheet1!$J$20:$J$22</c:f>
              <c:numCache>
                <c:formatCode>General</c:formatCode>
                <c:ptCount val="3"/>
                <c:pt idx="0">
                  <c:v>5.6836006029747539E-2</c:v>
                </c:pt>
                <c:pt idx="1">
                  <c:v>5.8616548311575326E-2</c:v>
                </c:pt>
                <c:pt idx="2">
                  <c:v>4.6865761514213976E-2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16-4246-BD34-9FD46C07A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/>
              <a:t>50% Proliferative; 50%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>
                    <a:alpha val="92000"/>
                  </a:srgbClr>
                </a:solidFill>
              </a:ln>
              <a:effectLst/>
            </c:spPr>
          </c:marker>
          <c:xVal>
            <c:numRef>
              <c:f>Sheet1!$H$23:$H$25</c:f>
              <c:numCache>
                <c:formatCode>General</c:formatCode>
                <c:ptCount val="3"/>
                <c:pt idx="0">
                  <c:v>195.49296000000001</c:v>
                </c:pt>
                <c:pt idx="1">
                  <c:v>801.01215450000007</c:v>
                </c:pt>
                <c:pt idx="2">
                  <c:v>1460.2475519999998</c:v>
                </c:pt>
              </c:numCache>
            </c:numRef>
          </c:xVal>
          <c:yVal>
            <c:numRef>
              <c:f>Sheet1!$I$23:$I$25</c:f>
              <c:numCache>
                <c:formatCode>General</c:formatCode>
                <c:ptCount val="3"/>
                <c:pt idx="0">
                  <c:v>0.81602481762439194</c:v>
                </c:pt>
                <c:pt idx="1">
                  <c:v>0.89599075901236935</c:v>
                </c:pt>
                <c:pt idx="2">
                  <c:v>0.90095181439619176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0-439A-B351-274C0B75E73C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95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Sheet1!$H$23:$H$25</c:f>
              <c:numCache>
                <c:formatCode>General</c:formatCode>
                <c:ptCount val="3"/>
                <c:pt idx="0">
                  <c:v>195.49296000000001</c:v>
                </c:pt>
                <c:pt idx="1">
                  <c:v>801.01215450000007</c:v>
                </c:pt>
                <c:pt idx="2">
                  <c:v>1460.2475519999998</c:v>
                </c:pt>
              </c:numCache>
            </c:numRef>
          </c:xVal>
          <c:yVal>
            <c:numRef>
              <c:f>Sheet1!$J$23:$J$25</c:f>
              <c:numCache>
                <c:formatCode>General</c:formatCode>
                <c:ptCount val="3"/>
                <c:pt idx="0">
                  <c:v>0.11771114029311169</c:v>
                </c:pt>
                <c:pt idx="1">
                  <c:v>5.8662078571135805E-2</c:v>
                </c:pt>
                <c:pt idx="2">
                  <c:v>5.1429202074826132E-2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0-439A-B351-274C0B75E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/>
              <a:t>20% Proliferative; 80%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/>
              </a:solidFill>
              <a:ln w="9525">
                <a:solidFill>
                  <a:srgbClr val="FFA500">
                    <a:alpha val="92000"/>
                  </a:srgbClr>
                </a:solidFill>
              </a:ln>
              <a:effectLst/>
            </c:spPr>
          </c:marker>
          <c:xVal>
            <c:numRef>
              <c:f>Sheet1!$H$26:$H$28</c:f>
              <c:numCache>
                <c:formatCode>General</c:formatCode>
                <c:ptCount val="3"/>
                <c:pt idx="0">
                  <c:v>309.03683749999993</c:v>
                </c:pt>
                <c:pt idx="1">
                  <c:v>967.03805</c:v>
                </c:pt>
                <c:pt idx="2">
                  <c:v>1048.8314915000001</c:v>
                </c:pt>
              </c:numCache>
            </c:numRef>
          </c:xVal>
          <c:yVal>
            <c:numRef>
              <c:f>Sheet1!$I$26:$I$28</c:f>
              <c:numCache>
                <c:formatCode>General</c:formatCode>
                <c:ptCount val="3"/>
                <c:pt idx="0">
                  <c:v>0.70957168800106363</c:v>
                </c:pt>
                <c:pt idx="1">
                  <c:v>0.83452206002007578</c:v>
                </c:pt>
                <c:pt idx="2">
                  <c:v>0.82763368357188272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9-44FB-B883-CD50C3941F86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95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Sheet1!$H$26:$H$28</c:f>
              <c:numCache>
                <c:formatCode>General</c:formatCode>
                <c:ptCount val="3"/>
                <c:pt idx="0">
                  <c:v>309.03683749999993</c:v>
                </c:pt>
                <c:pt idx="1">
                  <c:v>967.03805</c:v>
                </c:pt>
                <c:pt idx="2">
                  <c:v>1048.8314915000001</c:v>
                </c:pt>
              </c:numCache>
            </c:numRef>
          </c:xVal>
          <c:yVal>
            <c:numRef>
              <c:f>Sheet1!$J$26:$J$28</c:f>
              <c:numCache>
                <c:formatCode>General</c:formatCode>
                <c:ptCount val="3"/>
                <c:pt idx="0">
                  <c:v>0.26036151599648044</c:v>
                </c:pt>
                <c:pt idx="1">
                  <c:v>0.10998442723662036</c:v>
                </c:pt>
                <c:pt idx="2">
                  <c:v>0.1338866005180962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39-44FB-B883-CD50C394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/>
              <a:t>100% Invasive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Proliferative</c:v>
          </c:tx>
          <c:spPr>
            <a:ln w="19050" cap="rnd">
              <a:solidFill>
                <a:srgbClr val="FFA5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500">
                  <a:alpha val="94000"/>
                </a:srgbClr>
              </a:solidFill>
              <a:ln w="9525">
                <a:solidFill>
                  <a:srgbClr val="FFA500">
                    <a:alpha val="92000"/>
                  </a:srgbClr>
                </a:solidFill>
              </a:ln>
              <a:effectLst/>
            </c:spPr>
          </c:marker>
          <c:xVal>
            <c:numRef>
              <c:f>Sheet1!$H$29:$H$31</c:f>
              <c:numCache>
                <c:formatCode>General</c:formatCode>
                <c:ptCount val="3"/>
                <c:pt idx="0">
                  <c:v>234.68191150000001</c:v>
                </c:pt>
                <c:pt idx="1">
                  <c:v>459.88253750000013</c:v>
                </c:pt>
                <c:pt idx="2">
                  <c:v>1026.7264</c:v>
                </c:pt>
              </c:numCache>
            </c:numRef>
          </c:xVal>
          <c:yVal>
            <c:numRef>
              <c:f>Sheet1!$I$29:$I$31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3-418A-A66D-2119DA13865F}"/>
            </c:ext>
          </c:extLst>
        </c:ser>
        <c:ser>
          <c:idx val="1"/>
          <c:order val="1"/>
          <c:tx>
            <c:v>Invasive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95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Sheet1!$H$29:$H$31</c:f>
              <c:numCache>
                <c:formatCode>General</c:formatCode>
                <c:ptCount val="3"/>
                <c:pt idx="0">
                  <c:v>234.68191150000001</c:v>
                </c:pt>
                <c:pt idx="1">
                  <c:v>459.88253750000013</c:v>
                </c:pt>
                <c:pt idx="2">
                  <c:v>1026.7264</c:v>
                </c:pt>
              </c:numCache>
            </c:numRef>
          </c:xVal>
          <c:yVal>
            <c:numRef>
              <c:f>Sheet1!$J$29:$J$31</c:f>
              <c:numCache>
                <c:formatCode>General</c:formatCode>
                <c:ptCount val="3"/>
                <c:pt idx="0">
                  <c:v>0.96909031304829585</c:v>
                </c:pt>
                <c:pt idx="1">
                  <c:v>0.97603678326721943</c:v>
                </c:pt>
                <c:pt idx="2">
                  <c:v>0.96393326866321594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53-418A-A66D-2119DA13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84031"/>
        <c:axId val="460283071"/>
      </c:scatterChart>
      <c:valAx>
        <c:axId val="4602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Size (mm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3071"/>
        <c:crosses val="autoZero"/>
        <c:crossBetween val="midCat"/>
      </c:valAx>
      <c:valAx>
        <c:axId val="460283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Percentage of subclone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028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434340</xdr:colOff>
      <xdr:row>1</xdr:row>
      <xdr:rowOff>171450</xdr:rowOff>
    </xdr:from>
    <xdr:to>
      <xdr:col>15</xdr:col>
      <xdr:colOff>129540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EB659-5B4B-69A4-17CF-0DD12A2D0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15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E790A-27B5-4A53-AAE3-72190AF78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15</xdr:col>
      <xdr:colOff>304800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81F631-3AF0-4991-ACED-E7495321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50</xdr:row>
      <xdr:rowOff>0</xdr:rowOff>
    </xdr:from>
    <xdr:to>
      <xdr:col>15</xdr:col>
      <xdr:colOff>304800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47918E-15D7-4582-9EC7-11D1DB2A9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67</xdr:row>
      <xdr:rowOff>0</xdr:rowOff>
    </xdr:from>
    <xdr:to>
      <xdr:col>15</xdr:col>
      <xdr:colOff>304800</xdr:colOff>
      <xdr:row>82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F4E6B5-BCC3-4B67-A810-2F83D2B49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541020</xdr:colOff>
      <xdr:row>2</xdr:row>
      <xdr:rowOff>0</xdr:rowOff>
    </xdr:from>
    <xdr:to>
      <xdr:col>26</xdr:col>
      <xdr:colOff>236220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2BAC14-FFF2-4014-95D8-4D3A61F30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541020</xdr:colOff>
      <xdr:row>18</xdr:row>
      <xdr:rowOff>0</xdr:rowOff>
    </xdr:from>
    <xdr:to>
      <xdr:col>26</xdr:col>
      <xdr:colOff>236220</xdr:colOff>
      <xdr:row>33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1DB718-5F7C-4238-BF06-6388EB24E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541020</xdr:colOff>
      <xdr:row>34</xdr:row>
      <xdr:rowOff>0</xdr:rowOff>
    </xdr:from>
    <xdr:to>
      <xdr:col>26</xdr:col>
      <xdr:colOff>236220</xdr:colOff>
      <xdr:row>49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383A39-DD5A-4A0E-85E2-D9782F162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541020</xdr:colOff>
      <xdr:row>50</xdr:row>
      <xdr:rowOff>0</xdr:rowOff>
    </xdr:from>
    <xdr:to>
      <xdr:col>26</xdr:col>
      <xdr:colOff>236220</xdr:colOff>
      <xdr:row>65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6A3E36-1FA6-4E24-A26E-391A365F2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541020</xdr:colOff>
      <xdr:row>67</xdr:row>
      <xdr:rowOff>0</xdr:rowOff>
    </xdr:from>
    <xdr:to>
      <xdr:col>26</xdr:col>
      <xdr:colOff>236220</xdr:colOff>
      <xdr:row>82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1D1DC9-9090-4998-AF19-197D83F57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2677-BBD0-490E-A233-7C0BEC0694F4}">
  <dimension ref="A1:V31"/>
  <sheetViews>
    <sheetView tabSelected="1" topLeftCell="D8" workbookViewId="0">
      <selection activeCell="K18" sqref="K1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</v>
      </c>
      <c r="I1" t="s">
        <v>16</v>
      </c>
      <c r="J1" t="s">
        <v>17</v>
      </c>
      <c r="O1" t="s">
        <v>18</v>
      </c>
      <c r="V1" t="s">
        <v>19</v>
      </c>
    </row>
    <row r="2" spans="1:22" x14ac:dyDescent="0.3">
      <c r="A2" t="s">
        <v>6</v>
      </c>
      <c r="B2">
        <v>429</v>
      </c>
      <c r="C2">
        <v>197.33030549999998</v>
      </c>
      <c r="D2">
        <v>0.20348837209302301</v>
      </c>
      <c r="E2">
        <v>0</v>
      </c>
      <c r="F2">
        <v>0.222915057915058</v>
      </c>
      <c r="H2">
        <f>C2</f>
        <v>197.33030549999998</v>
      </c>
      <c r="I2">
        <f>D2/F2</f>
        <v>0.91285162158297284</v>
      </c>
      <c r="J2">
        <f>E2/F2</f>
        <v>0</v>
      </c>
    </row>
    <row r="3" spans="1:22" x14ac:dyDescent="0.3">
      <c r="A3" t="s">
        <v>6</v>
      </c>
      <c r="B3">
        <v>424</v>
      </c>
      <c r="C3">
        <v>498.26413799999989</v>
      </c>
      <c r="D3">
        <v>0.22044728434504801</v>
      </c>
      <c r="E3">
        <v>0</v>
      </c>
      <c r="F3">
        <v>0.23516842634489701</v>
      </c>
      <c r="H3">
        <f t="shared" ref="H3:H31" si="0">C3</f>
        <v>498.26413799999989</v>
      </c>
      <c r="I3">
        <f t="shared" ref="I3:I31" si="1">D3/F3</f>
        <v>0.9374017072416897</v>
      </c>
      <c r="J3">
        <f t="shared" ref="J3:J31" si="2">E3/F3</f>
        <v>0</v>
      </c>
    </row>
    <row r="4" spans="1:22" x14ac:dyDescent="0.3">
      <c r="A4" t="s">
        <v>6</v>
      </c>
      <c r="B4">
        <v>425</v>
      </c>
      <c r="C4">
        <v>1142.2782</v>
      </c>
      <c r="D4">
        <v>0.35961165048543697</v>
      </c>
      <c r="E4">
        <v>0</v>
      </c>
      <c r="F4">
        <v>0.39310344827586202</v>
      </c>
      <c r="H4">
        <f t="shared" si="0"/>
        <v>1142.2782</v>
      </c>
      <c r="I4">
        <f t="shared" si="1"/>
        <v>0.91480156702435733</v>
      </c>
      <c r="J4">
        <f t="shared" si="2"/>
        <v>0</v>
      </c>
    </row>
    <row r="5" spans="1:22" x14ac:dyDescent="0.3">
      <c r="A5" s="1" t="s">
        <v>7</v>
      </c>
      <c r="B5" s="1">
        <v>430</v>
      </c>
      <c r="C5" s="1">
        <v>212.80861999999999</v>
      </c>
      <c r="D5" s="1">
        <v>0.221391683433937</v>
      </c>
      <c r="E5" s="1">
        <v>4.6750171509504897E-2</v>
      </c>
      <c r="F5" s="1">
        <v>0.238095238095238</v>
      </c>
      <c r="G5" s="1"/>
      <c r="H5" s="1">
        <f t="shared" si="0"/>
        <v>212.80861999999999</v>
      </c>
      <c r="I5" s="1">
        <f t="shared" si="1"/>
        <v>0.92984507042253584</v>
      </c>
      <c r="J5" s="1">
        <f t="shared" si="2"/>
        <v>0.19635072033992065</v>
      </c>
    </row>
    <row r="6" spans="1:22" x14ac:dyDescent="0.3">
      <c r="A6" s="1" t="s">
        <v>7</v>
      </c>
      <c r="B6" s="1">
        <v>435</v>
      </c>
      <c r="C6" s="1">
        <v>484.62027400000011</v>
      </c>
      <c r="D6" s="1">
        <v>0.25314911037631899</v>
      </c>
      <c r="E6" s="1">
        <v>1.46104281140056E-2</v>
      </c>
      <c r="F6" s="1">
        <v>0.26395939086294401</v>
      </c>
      <c r="G6" s="1"/>
      <c r="H6" s="1">
        <f t="shared" si="0"/>
        <v>484.62027400000011</v>
      </c>
      <c r="I6" s="1">
        <f t="shared" si="1"/>
        <v>0.95904566815643977</v>
      </c>
      <c r="J6" s="1">
        <f t="shared" si="2"/>
        <v>5.53510449703674E-2</v>
      </c>
    </row>
    <row r="7" spans="1:22" x14ac:dyDescent="0.3">
      <c r="A7" s="1" t="s">
        <v>7</v>
      </c>
      <c r="B7" s="1">
        <v>431</v>
      </c>
      <c r="C7" s="1">
        <v>999.54849100000013</v>
      </c>
      <c r="D7" s="1">
        <v>0.302054154995331</v>
      </c>
      <c r="E7" s="1">
        <v>2.2801302931596101E-2</v>
      </c>
      <c r="F7" s="1">
        <v>0.34419917012448098</v>
      </c>
      <c r="G7" s="1"/>
      <c r="H7" s="1">
        <f t="shared" si="0"/>
        <v>999.54849100000013</v>
      </c>
      <c r="I7" s="1">
        <f t="shared" si="1"/>
        <v>0.8775563139390834</v>
      </c>
      <c r="J7" s="1">
        <f t="shared" si="2"/>
        <v>6.6244502923554174E-2</v>
      </c>
    </row>
    <row r="8" spans="1:22" x14ac:dyDescent="0.3">
      <c r="A8" t="s">
        <v>8</v>
      </c>
      <c r="B8">
        <v>437</v>
      </c>
      <c r="C8">
        <v>211.192352</v>
      </c>
      <c r="D8">
        <v>7.0051302386676298E-2</v>
      </c>
      <c r="E8">
        <v>0.14378205128205099</v>
      </c>
      <c r="F8">
        <v>0.22891566265060201</v>
      </c>
      <c r="H8">
        <f t="shared" si="0"/>
        <v>211.192352</v>
      </c>
      <c r="I8">
        <f t="shared" si="1"/>
        <v>0.30601358411021806</v>
      </c>
      <c r="J8">
        <f t="shared" si="2"/>
        <v>0.62810053981106595</v>
      </c>
    </row>
    <row r="9" spans="1:22" x14ac:dyDescent="0.3">
      <c r="A9" t="s">
        <v>8</v>
      </c>
      <c r="B9">
        <v>440</v>
      </c>
      <c r="C9">
        <v>497.50963750000011</v>
      </c>
      <c r="D9">
        <v>1.8987341772151899E-2</v>
      </c>
      <c r="E9">
        <v>0.26997625538650999</v>
      </c>
      <c r="F9">
        <v>0.277573529411765</v>
      </c>
      <c r="H9">
        <f t="shared" si="0"/>
        <v>497.50963750000011</v>
      </c>
      <c r="I9">
        <f t="shared" si="1"/>
        <v>6.8404727973845184E-2</v>
      </c>
      <c r="J9">
        <f t="shared" si="2"/>
        <v>0.97262968827987606</v>
      </c>
    </row>
    <row r="10" spans="1:22" x14ac:dyDescent="0.3">
      <c r="A10" t="s">
        <v>8</v>
      </c>
      <c r="B10">
        <v>436</v>
      </c>
      <c r="C10">
        <v>1056.2036760000003</v>
      </c>
      <c r="D10">
        <v>3.5215737054977402E-2</v>
      </c>
      <c r="E10">
        <v>0.29913737993315898</v>
      </c>
      <c r="F10">
        <v>0.308370044052863</v>
      </c>
      <c r="H10">
        <f t="shared" si="0"/>
        <v>1056.2036760000003</v>
      </c>
      <c r="I10">
        <f t="shared" si="1"/>
        <v>0.1141996044497126</v>
      </c>
      <c r="J10">
        <f t="shared" si="2"/>
        <v>0.9700597892118169</v>
      </c>
    </row>
    <row r="11" spans="1:22" x14ac:dyDescent="0.3">
      <c r="A11" s="1" t="s">
        <v>9</v>
      </c>
      <c r="B11" s="1">
        <v>442</v>
      </c>
      <c r="C11" s="1">
        <v>252.97920000000002</v>
      </c>
      <c r="D11" s="1">
        <v>3.03030303030303E-2</v>
      </c>
      <c r="E11" s="1">
        <v>0.247422680412371</v>
      </c>
      <c r="F11" s="1">
        <v>0.28409090909090901</v>
      </c>
      <c r="G11" s="1"/>
      <c r="H11" s="1">
        <f t="shared" si="0"/>
        <v>252.97920000000002</v>
      </c>
      <c r="I11" s="1">
        <f t="shared" si="1"/>
        <v>0.10666666666666669</v>
      </c>
      <c r="J11" s="1">
        <f t="shared" si="2"/>
        <v>0.87092783505154625</v>
      </c>
    </row>
    <row r="12" spans="1:22" x14ac:dyDescent="0.3">
      <c r="A12" s="1" t="s">
        <v>9</v>
      </c>
      <c r="B12" s="1">
        <v>446</v>
      </c>
      <c r="C12" s="1">
        <v>516.70466249999993</v>
      </c>
      <c r="D12" s="1">
        <v>1.32495299115537E-2</v>
      </c>
      <c r="E12" s="1">
        <v>0.26406023395922601</v>
      </c>
      <c r="F12" s="1">
        <v>0.27030955373978599</v>
      </c>
      <c r="G12" s="1"/>
      <c r="H12" s="1">
        <f t="shared" si="0"/>
        <v>516.70466249999993</v>
      </c>
      <c r="I12" s="1">
        <f t="shared" si="1"/>
        <v>4.9016136234342589E-2</v>
      </c>
      <c r="J12" s="1">
        <f t="shared" si="2"/>
        <v>0.97688087714955163</v>
      </c>
    </row>
    <row r="13" spans="1:22" x14ac:dyDescent="0.3">
      <c r="A13" s="1" t="s">
        <v>9</v>
      </c>
      <c r="B13" s="1">
        <v>447</v>
      </c>
      <c r="C13" s="1">
        <v>1170.3778579999998</v>
      </c>
      <c r="D13" s="1">
        <v>1.9354838709677399E-2</v>
      </c>
      <c r="E13" s="1">
        <v>0.32942363047075102</v>
      </c>
      <c r="F13" s="1">
        <v>0.34090909090909099</v>
      </c>
      <c r="G13" s="1"/>
      <c r="H13" s="1">
        <f t="shared" si="0"/>
        <v>1170.3778579999998</v>
      </c>
      <c r="I13" s="1">
        <f t="shared" si="1"/>
        <v>5.6774193548387024E-2</v>
      </c>
      <c r="J13" s="1">
        <f t="shared" si="2"/>
        <v>0.96630931604753612</v>
      </c>
    </row>
    <row r="14" spans="1:22" x14ac:dyDescent="0.3">
      <c r="A14" t="s">
        <v>10</v>
      </c>
      <c r="B14">
        <v>451</v>
      </c>
      <c r="C14">
        <v>214.87254800000005</v>
      </c>
      <c r="D14">
        <v>0</v>
      </c>
      <c r="E14">
        <v>0.24598930481283399</v>
      </c>
      <c r="F14">
        <v>0.25359256128486901</v>
      </c>
      <c r="H14">
        <f t="shared" si="0"/>
        <v>214.87254800000005</v>
      </c>
      <c r="I14">
        <f t="shared" si="1"/>
        <v>0</v>
      </c>
      <c r="J14">
        <f t="shared" si="2"/>
        <v>0.97001782531194192</v>
      </c>
    </row>
    <row r="15" spans="1:22" x14ac:dyDescent="0.3">
      <c r="A15" t="s">
        <v>10</v>
      </c>
      <c r="B15">
        <v>450</v>
      </c>
      <c r="C15">
        <v>479.01294999999999</v>
      </c>
      <c r="D15">
        <v>0</v>
      </c>
      <c r="E15">
        <v>0.26388888888888901</v>
      </c>
      <c r="F15">
        <v>0.27155635062611799</v>
      </c>
      <c r="H15">
        <f t="shared" si="0"/>
        <v>479.01294999999999</v>
      </c>
      <c r="I15">
        <f t="shared" si="1"/>
        <v>0</v>
      </c>
      <c r="J15">
        <f t="shared" si="2"/>
        <v>0.97176474893866271</v>
      </c>
    </row>
    <row r="16" spans="1:22" x14ac:dyDescent="0.3">
      <c r="A16" t="s">
        <v>10</v>
      </c>
      <c r="B16">
        <v>449</v>
      </c>
      <c r="C16">
        <v>1169.2628999999999</v>
      </c>
      <c r="D16">
        <v>0</v>
      </c>
      <c r="E16">
        <v>0.292161520190024</v>
      </c>
      <c r="F16">
        <v>0.28747763321505498</v>
      </c>
      <c r="H16">
        <f t="shared" si="0"/>
        <v>1169.2628999999999</v>
      </c>
      <c r="I16">
        <f t="shared" si="1"/>
        <v>0</v>
      </c>
      <c r="J16">
        <v>1</v>
      </c>
    </row>
    <row r="17" spans="1:10" x14ac:dyDescent="0.3">
      <c r="A17" s="1" t="s">
        <v>11</v>
      </c>
      <c r="B17" s="1">
        <v>458</v>
      </c>
      <c r="C17" s="1">
        <v>220.35905099999999</v>
      </c>
      <c r="D17" s="1">
        <v>0.28323689555703502</v>
      </c>
      <c r="E17" s="1">
        <v>0</v>
      </c>
      <c r="F17" s="1">
        <v>0.29899679741603502</v>
      </c>
      <c r="G17" s="1"/>
      <c r="H17" s="1">
        <f t="shared" si="0"/>
        <v>220.35905099999999</v>
      </c>
      <c r="I17" s="1">
        <f t="shared" si="1"/>
        <v>0.94729073356236959</v>
      </c>
      <c r="J17" s="1">
        <f t="shared" si="2"/>
        <v>0</v>
      </c>
    </row>
    <row r="18" spans="1:10" x14ac:dyDescent="0.3">
      <c r="A18" s="1" t="s">
        <v>11</v>
      </c>
      <c r="B18" s="1">
        <v>456</v>
      </c>
      <c r="C18" s="1">
        <v>583.164582</v>
      </c>
      <c r="D18" s="1">
        <v>0.27957576548080998</v>
      </c>
      <c r="E18" s="1">
        <v>0</v>
      </c>
      <c r="F18" s="1">
        <v>0.30456852791878197</v>
      </c>
      <c r="G18" s="1"/>
      <c r="H18" s="1">
        <f t="shared" si="0"/>
        <v>583.164582</v>
      </c>
      <c r="I18" s="1">
        <f t="shared" si="1"/>
        <v>0.91794042999532532</v>
      </c>
      <c r="J18" s="1">
        <f t="shared" si="2"/>
        <v>0</v>
      </c>
    </row>
    <row r="19" spans="1:10" x14ac:dyDescent="0.3">
      <c r="A19" s="1" t="s">
        <v>11</v>
      </c>
      <c r="B19" s="1">
        <v>459</v>
      </c>
      <c r="C19" s="1">
        <v>1146.1895279999997</v>
      </c>
      <c r="D19" s="1">
        <v>0.30188679245283001</v>
      </c>
      <c r="E19" s="1">
        <v>0</v>
      </c>
      <c r="F19" s="1">
        <v>0.329787234042553</v>
      </c>
      <c r="G19" s="1"/>
      <c r="H19" s="1">
        <f t="shared" si="0"/>
        <v>1146.1895279999997</v>
      </c>
      <c r="I19" s="1">
        <f t="shared" si="1"/>
        <v>0.9153986609860012</v>
      </c>
      <c r="J19" s="1">
        <f t="shared" si="2"/>
        <v>0</v>
      </c>
    </row>
    <row r="20" spans="1:10" x14ac:dyDescent="0.3">
      <c r="A20" t="s">
        <v>12</v>
      </c>
      <c r="B20">
        <v>464</v>
      </c>
      <c r="C20">
        <v>181.86959999999999</v>
      </c>
      <c r="D20">
        <v>0.26759829875878799</v>
      </c>
      <c r="E20">
        <v>1.6901542563321301E-2</v>
      </c>
      <c r="F20">
        <v>0.29737386111323799</v>
      </c>
      <c r="H20">
        <f t="shared" si="0"/>
        <v>181.86959999999999</v>
      </c>
      <c r="I20">
        <f t="shared" si="1"/>
        <v>0.89987162206192806</v>
      </c>
      <c r="J20">
        <f t="shared" si="2"/>
        <v>5.6836006029747539E-2</v>
      </c>
    </row>
    <row r="21" spans="1:10" x14ac:dyDescent="0.3">
      <c r="A21" t="s">
        <v>12</v>
      </c>
      <c r="B21">
        <v>461</v>
      </c>
      <c r="C21">
        <v>631.02672000000007</v>
      </c>
      <c r="D21">
        <v>0.28753993610223599</v>
      </c>
      <c r="E21">
        <v>1.8839843182808201E-2</v>
      </c>
      <c r="F21">
        <v>0.32140826653021798</v>
      </c>
      <c r="H21">
        <f t="shared" si="0"/>
        <v>631.02672000000007</v>
      </c>
      <c r="I21">
        <f t="shared" si="1"/>
        <v>0.89462520428111714</v>
      </c>
      <c r="J21">
        <f t="shared" si="2"/>
        <v>5.8616548311575326E-2</v>
      </c>
    </row>
    <row r="22" spans="1:10" x14ac:dyDescent="0.3">
      <c r="A22" t="s">
        <v>12</v>
      </c>
      <c r="B22">
        <v>465</v>
      </c>
      <c r="C22">
        <v>1701.7770240000002</v>
      </c>
      <c r="D22">
        <v>0.34482758620689702</v>
      </c>
      <c r="E22">
        <v>1.7857142857142901E-2</v>
      </c>
      <c r="F22">
        <v>0.381027476780186</v>
      </c>
      <c r="H22">
        <f t="shared" si="0"/>
        <v>1701.7770240000002</v>
      </c>
      <c r="I22">
        <f t="shared" si="1"/>
        <v>0.90499401544688962</v>
      </c>
      <c r="J22">
        <f t="shared" si="2"/>
        <v>4.6865761514213976E-2</v>
      </c>
    </row>
    <row r="23" spans="1:10" x14ac:dyDescent="0.3">
      <c r="A23" s="1" t="s">
        <v>13</v>
      </c>
      <c r="B23" s="1">
        <v>471</v>
      </c>
      <c r="C23" s="1">
        <v>195.49296000000001</v>
      </c>
      <c r="D23" s="1">
        <v>0.209677419354839</v>
      </c>
      <c r="E23" s="1">
        <v>3.02458547741567E-2</v>
      </c>
      <c r="F23" s="1">
        <v>0.25694980694980701</v>
      </c>
      <c r="G23" s="1"/>
      <c r="H23" s="1">
        <f t="shared" si="0"/>
        <v>195.49296000000001</v>
      </c>
      <c r="I23" s="1">
        <f t="shared" si="1"/>
        <v>0.81602481762439194</v>
      </c>
      <c r="J23" s="1">
        <f t="shared" si="2"/>
        <v>0.11771114029311169</v>
      </c>
    </row>
    <row r="24" spans="1:10" x14ac:dyDescent="0.3">
      <c r="A24" s="1" t="s">
        <v>13</v>
      </c>
      <c r="B24" s="1">
        <v>469</v>
      </c>
      <c r="C24" s="1">
        <v>801.01215450000007</v>
      </c>
      <c r="D24" s="1">
        <v>0.29657794676806098</v>
      </c>
      <c r="E24" s="1">
        <v>1.94174757281553E-2</v>
      </c>
      <c r="F24" s="1">
        <v>0.33100558659217899</v>
      </c>
      <c r="G24" s="1"/>
      <c r="H24" s="1">
        <f t="shared" si="0"/>
        <v>801.01215450000007</v>
      </c>
      <c r="I24" s="1">
        <f t="shared" si="1"/>
        <v>0.89599075901236935</v>
      </c>
      <c r="J24" s="1">
        <f t="shared" si="2"/>
        <v>5.8662078571135805E-2</v>
      </c>
    </row>
    <row r="25" spans="1:10" x14ac:dyDescent="0.3">
      <c r="A25" s="1" t="s">
        <v>13</v>
      </c>
      <c r="B25" s="1">
        <v>468</v>
      </c>
      <c r="C25" s="1">
        <v>1460.2475519999998</v>
      </c>
      <c r="D25" s="1">
        <v>0.31707317073170699</v>
      </c>
      <c r="E25" s="1">
        <v>1.8099547511312201E-2</v>
      </c>
      <c r="F25" s="1">
        <v>0.35193133047210301</v>
      </c>
      <c r="G25" s="1"/>
      <c r="H25" s="1">
        <f t="shared" si="0"/>
        <v>1460.2475519999998</v>
      </c>
      <c r="I25" s="1">
        <f t="shared" si="1"/>
        <v>0.90095181439619176</v>
      </c>
      <c r="J25" s="1">
        <f t="shared" si="2"/>
        <v>5.1429202074826132E-2</v>
      </c>
    </row>
    <row r="26" spans="1:10" x14ac:dyDescent="0.3">
      <c r="A26" t="s">
        <v>14</v>
      </c>
      <c r="B26">
        <v>474</v>
      </c>
      <c r="C26">
        <v>309.03683749999993</v>
      </c>
      <c r="D26">
        <v>0.21327014218009499</v>
      </c>
      <c r="E26">
        <v>7.8254725313548906E-2</v>
      </c>
      <c r="F26">
        <v>0.300561797752809</v>
      </c>
      <c r="H26">
        <f t="shared" si="0"/>
        <v>309.03683749999993</v>
      </c>
      <c r="I26">
        <f t="shared" si="1"/>
        <v>0.70957168800106363</v>
      </c>
      <c r="J26">
        <f t="shared" si="2"/>
        <v>0.26036151599648044</v>
      </c>
    </row>
    <row r="27" spans="1:10" x14ac:dyDescent="0.3">
      <c r="A27" t="s">
        <v>14</v>
      </c>
      <c r="B27">
        <v>477</v>
      </c>
      <c r="C27">
        <v>967.03805</v>
      </c>
      <c r="D27">
        <v>0.28633730234940102</v>
      </c>
      <c r="E27">
        <v>3.7737341772151899E-2</v>
      </c>
      <c r="F27">
        <v>0.34311531841652299</v>
      </c>
      <c r="H27">
        <f t="shared" si="0"/>
        <v>967.03805</v>
      </c>
      <c r="I27">
        <f t="shared" si="1"/>
        <v>0.83452206002007578</v>
      </c>
      <c r="J27">
        <f t="shared" si="2"/>
        <v>0.10998442723662036</v>
      </c>
    </row>
    <row r="28" spans="1:10" x14ac:dyDescent="0.3">
      <c r="A28" t="s">
        <v>14</v>
      </c>
      <c r="B28">
        <v>475</v>
      </c>
      <c r="C28">
        <v>1048.8314915000001</v>
      </c>
      <c r="D28">
        <v>0.27845619260362398</v>
      </c>
      <c r="E28">
        <v>4.50459590528174E-2</v>
      </c>
      <c r="F28">
        <v>0.33644859813084099</v>
      </c>
      <c r="H28">
        <f t="shared" si="0"/>
        <v>1048.8314915000001</v>
      </c>
      <c r="I28">
        <f t="shared" si="1"/>
        <v>0.82763368357188272</v>
      </c>
      <c r="J28">
        <f t="shared" si="2"/>
        <v>0.1338866005180962</v>
      </c>
    </row>
    <row r="29" spans="1:10" x14ac:dyDescent="0.3">
      <c r="A29" s="1" t="s">
        <v>15</v>
      </c>
      <c r="B29" s="1">
        <v>478</v>
      </c>
      <c r="C29" s="1">
        <v>234.68191150000001</v>
      </c>
      <c r="D29" s="1">
        <v>0</v>
      </c>
      <c r="E29" s="1">
        <v>0.27309308338720101</v>
      </c>
      <c r="F29" s="1">
        <v>0.28180354267310798</v>
      </c>
      <c r="G29" s="1"/>
      <c r="H29" s="1">
        <f t="shared" si="0"/>
        <v>234.68191150000001</v>
      </c>
      <c r="I29" s="1">
        <f t="shared" si="1"/>
        <v>0</v>
      </c>
      <c r="J29" s="1">
        <f t="shared" si="2"/>
        <v>0.96909031304829585</v>
      </c>
    </row>
    <row r="30" spans="1:10" x14ac:dyDescent="0.3">
      <c r="A30" s="1" t="s">
        <v>15</v>
      </c>
      <c r="B30" s="1">
        <v>483</v>
      </c>
      <c r="C30" s="1">
        <v>459.88253750000013</v>
      </c>
      <c r="D30" s="1">
        <v>0</v>
      </c>
      <c r="E30" s="1">
        <v>0.30833333333333302</v>
      </c>
      <c r="F30" s="1">
        <v>0.31590339485076302</v>
      </c>
      <c r="G30" s="1"/>
      <c r="H30" s="1">
        <f t="shared" si="0"/>
        <v>459.88253750000013</v>
      </c>
      <c r="I30" s="1">
        <f t="shared" si="1"/>
        <v>0</v>
      </c>
      <c r="J30" s="1">
        <f t="shared" si="2"/>
        <v>0.97603678326721943</v>
      </c>
    </row>
    <row r="31" spans="1:10" x14ac:dyDescent="0.3">
      <c r="A31" s="1" t="s">
        <v>15</v>
      </c>
      <c r="B31" s="1">
        <v>481</v>
      </c>
      <c r="C31" s="1">
        <v>1026.7264</v>
      </c>
      <c r="D31" s="1">
        <v>0</v>
      </c>
      <c r="E31" s="1">
        <v>0.32798768362306802</v>
      </c>
      <c r="F31" s="1">
        <v>0.34025974025973998</v>
      </c>
      <c r="G31" s="1"/>
      <c r="H31" s="1">
        <f t="shared" si="0"/>
        <v>1026.7264</v>
      </c>
      <c r="I31" s="1">
        <f t="shared" si="1"/>
        <v>0</v>
      </c>
      <c r="J31" s="1">
        <f t="shared" si="2"/>
        <v>0.96393326866321594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 Hirsch</dc:creator>
  <cp:lastModifiedBy>MG Hirsch</cp:lastModifiedBy>
  <dcterms:created xsi:type="dcterms:W3CDTF">2025-06-30T21:00:43Z</dcterms:created>
  <dcterms:modified xsi:type="dcterms:W3CDTF">2025-07-17T16:23:25Z</dcterms:modified>
</cp:coreProperties>
</file>